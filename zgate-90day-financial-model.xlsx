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venue &amp; Cost Model" sheetId="2" state="visible" r:id="rId4"/>
    <sheet name="Cash Flow" sheetId="3" state="visible" r:id="rId5"/>
    <sheet name="12-Month Cash Flow" sheetId="4" state="visible" r:id="rId6"/>
    <sheet name="Summary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<sst xmlns="http://schemas.openxmlformats.org/spreadsheetml/2006/main" count="175" uniqueCount="125">
  <si>
    <t xml:space="preserve">Z-GATE LTD — Financial Model Assumptions (90-Day Detail + 12-Month Outlook)</t>
  </si>
  <si>
    <t xml:space="preserve">Edit the blue text / yellow-filled cells to update the model. All other cells are formulas and will recalculate automatically.</t>
  </si>
  <si>
    <t xml:space="preserve">LEGEND</t>
  </si>
  <si>
    <t xml:space="preserve">Blue text, yellow fill</t>
  </si>
  <si>
    <t xml:space="preserve">Editable input — change this to update the model</t>
  </si>
  <si>
    <t xml:space="preserve">Black text</t>
  </si>
  <si>
    <t xml:space="preserve">Formula — do not overwrite</t>
  </si>
  <si>
    <t xml:space="preserve">Green text</t>
  </si>
  <si>
    <t xml:space="preserve">Link pulled from another sheet</t>
  </si>
  <si>
    <t xml:space="preserve">TABLE A — UNIT ECONOMICS (single values, RWF unless noted)</t>
  </si>
  <si>
    <t xml:space="preserve">Driver</t>
  </si>
  <si>
    <t xml:space="preserve">Value</t>
  </si>
  <si>
    <t xml:space="preserve">Notes / Source</t>
  </si>
  <si>
    <t xml:space="preserve">Opening cash (share capital)</t>
  </si>
  <si>
    <t xml:space="preserve">Source: RDB registration certificate — 100 ordinary shares × RWF 50,000</t>
  </si>
  <si>
    <t xml:space="preserve">Advisory — monthly retainer fee per client (RWF)</t>
  </si>
  <si>
    <t xml:space="preserve">Planning estimate — mid-market SME compliance package</t>
  </si>
  <si>
    <t xml:space="preserve">Academy — course fee per learner (RWF)</t>
  </si>
  <si>
    <t xml:space="preserve">Planning estimate — short-course pricing</t>
  </si>
  <si>
    <t xml:space="preserve">Data — monthly fee per client (RWF)</t>
  </si>
  <si>
    <t xml:space="preserve">Planning estimate — SME reporting/BI retainer</t>
  </si>
  <si>
    <t xml:space="preserve">Contingency reserve — total held across 90 days (RWF)</t>
  </si>
  <si>
    <t xml:space="preserve">Held reserve; drawn only if needed (see Cash Flow sheet)</t>
  </si>
  <si>
    <t xml:space="preserve">TABLE B — MONTHLY VOLUME &amp; COST DRIVERS (RWF unless noted)</t>
  </si>
  <si>
    <t xml:space="preserve">Month 1</t>
  </si>
  <si>
    <t xml:space="preserve">Month 2</t>
  </si>
  <si>
    <t xml:space="preserve">Month 3</t>
  </si>
  <si>
    <t xml:space="preserve">Notes</t>
  </si>
  <si>
    <t xml:space="preserve">VOLUME</t>
  </si>
  <si>
    <t xml:space="preserve">Advisory — active retainer clients</t>
  </si>
  <si>
    <t xml:space="preserve">From 90-Day Roadmap (Nyarugenge CBD launch → Gasabo expansion)</t>
  </si>
  <si>
    <t xml:space="preserve">Academy — learners enrolled</t>
  </si>
  <si>
    <t xml:space="preserve">First cohort Month 2, second cohort Month 3</t>
  </si>
  <si>
    <t xml:space="preserve">Data — active clients</t>
  </si>
  <si>
    <t xml:space="preserve">First external client onboarded Month 3</t>
  </si>
  <si>
    <t xml:space="preserve">Tech — external revenue (direct RWF override)</t>
  </si>
  <si>
    <t xml:space="preserve">Internal builds only in first 90 days; no external revenue yet</t>
  </si>
  <si>
    <t xml:space="preserve">STAFFING (RWF/month)</t>
  </si>
  <si>
    <t xml:space="preserve">Advisory associate / bookkeeper</t>
  </si>
  <si>
    <t xml:space="preserve">Hired Month 1</t>
  </si>
  <si>
    <t xml:space="preserve">Marketing coordinator (part-time)</t>
  </si>
  <si>
    <t xml:space="preserve">Academy trainer (contract, per cohort)</t>
  </si>
  <si>
    <t xml:space="preserve">Paid in months with an active cohort</t>
  </si>
  <si>
    <t xml:space="preserve">Junior developer (contract)</t>
  </si>
  <si>
    <t xml:space="preserve">Hired Month 3</t>
  </si>
  <si>
    <t xml:space="preserve">Data analyst (contract)</t>
  </si>
  <si>
    <t xml:space="preserve">OPERATING (RWF/month)</t>
  </si>
  <si>
    <t xml:space="preserve">Marketing &amp; brand launch</t>
  </si>
  <si>
    <t xml:space="preserve">Heaviest in launch month</t>
  </si>
  <si>
    <t xml:space="preserve">Tools &amp; software (accounting, EBM system, LMS, hosting)</t>
  </si>
  <si>
    <t xml:space="preserve">Legal, compliance &amp; activity-code review</t>
  </si>
  <si>
    <t xml:space="preserve">Front-loaded — RDB activity code review, contracts</t>
  </si>
  <si>
    <t xml:space="preserve">TABLE C — QUARTERLY VOLUME &amp; COST DRIVERS, MONTHS 4-12 (RWF unless noted)</t>
  </si>
  <si>
    <t xml:space="preserve">Q2 (Mo 4-6)</t>
  </si>
  <si>
    <t xml:space="preserve">Q3 (Mo 7-9)</t>
  </si>
  <si>
    <t xml:space="preserve">Q4 (Mo 10-12)</t>
  </si>
  <si>
    <t xml:space="preserve">Advisory — active retainer clients (quarter avg)</t>
  </si>
  <si>
    <t xml:space="preserve">Continued growth from 10 clients at Day 90</t>
  </si>
  <si>
    <t xml:space="preserve">Academy — learners enrolled (quarter total)</t>
  </si>
  <si>
    <t xml:space="preserve">1 cohort/quarter in Q2-Q3, 2 cohorts in Q4</t>
  </si>
  <si>
    <t xml:space="preserve">Data — active clients (quarter avg)</t>
  </si>
  <si>
    <t xml:space="preserve">Steady client-base growth</t>
  </si>
  <si>
    <t xml:space="preserve">Tech — external revenue (quarter total, direct RWF override)</t>
  </si>
  <si>
    <t xml:space="preserve">External Tech client revenue begins Month 4</t>
  </si>
  <si>
    <t xml:space="preserve">COSTS (quarter total, RWF)</t>
  </si>
  <si>
    <t xml:space="preserve">Staffing (quarter total)</t>
  </si>
  <si>
    <t xml:space="preserve">Q4 adds a second Advisory associate as client base grows</t>
  </si>
  <si>
    <t xml:space="preserve">Marketing (quarter total)</t>
  </si>
  <si>
    <t xml:space="preserve">Tapers to steady-state run-rate after launch quarter</t>
  </si>
  <si>
    <t xml:space="preserve">Tools &amp; software (quarter total)</t>
  </si>
  <si>
    <t xml:space="preserve">Flat run-rate</t>
  </si>
  <si>
    <t xml:space="preserve">Legal &amp; compliance (quarter total)</t>
  </si>
  <si>
    <t xml:space="preserve">Routine filings/reviews only — no further one-off RDB review costs</t>
  </si>
  <si>
    <t xml:space="preserve">Revenue &amp; Cost Build-Up</t>
  </si>
  <si>
    <t xml:space="preserve">All figures in RWF. Pulled from Assumptions — do not overwrite formula cells (black text).</t>
  </si>
  <si>
    <t xml:space="preserve">Line Item</t>
  </si>
  <si>
    <t xml:space="preserve">90-Day Total</t>
  </si>
  <si>
    <t xml:space="preserve">REVENUE BY DIVISION</t>
  </si>
  <si>
    <t xml:space="preserve">Advisory — retainer revenue</t>
  </si>
  <si>
    <t xml:space="preserve">Academy — course revenue</t>
  </si>
  <si>
    <t xml:space="preserve">Tech — external revenue</t>
  </si>
  <si>
    <t xml:space="preserve">Data — retainer revenue</t>
  </si>
  <si>
    <t xml:space="preserve">TOTAL REVENUE</t>
  </si>
  <si>
    <t xml:space="preserve">COSTS</t>
  </si>
  <si>
    <t xml:space="preserve">TOTAL COSTS</t>
  </si>
  <si>
    <t xml:space="preserve">NET OPERATING RESULT (Revenue − Costs)</t>
  </si>
  <si>
    <t xml:space="preserve">90-Day Cash Flow Statement</t>
  </si>
  <si>
    <t xml:space="preserve">All figures in RWF. Links to Revenue &amp; Cost Model and Assumptions (green text) — do not overwrite.</t>
  </si>
  <si>
    <t xml:space="preserve">Opening Cash Balance</t>
  </si>
  <si>
    <t xml:space="preserve">(+) Total Revenue</t>
  </si>
  <si>
    <t xml:space="preserve">(−) Total Costs</t>
  </si>
  <si>
    <t xml:space="preserve">Net Cash Flow</t>
  </si>
  <si>
    <t xml:space="preserve">Closing Cash Balance</t>
  </si>
  <si>
    <t xml:space="preserve">CONTINGENCY &amp; HEADROOM</t>
  </si>
  <si>
    <t xml:space="preserve">Contingency reserve held (not drawn above)</t>
  </si>
  <si>
    <t xml:space="preserve">Held in reserve across the 90 days; draw down manually only if a risk in the Business Plan's risk register materializes.</t>
  </si>
  <si>
    <t xml:space="preserve">Closing cash as % of starting capital</t>
  </si>
  <si>
    <t xml:space="preserve">12-Month Cash Flow Outlook</t>
  </si>
  <si>
    <t xml:space="preserve">Months 1-3 (green) link to the Cash Flow sheet's detailed build. Q2-Q4 (green) are computed from Assumptions Table C. Edit Table C to update the outlook.</t>
  </si>
  <si>
    <t xml:space="preserve">12-Month Total</t>
  </si>
  <si>
    <t xml:space="preserve">Total Revenue</t>
  </si>
  <si>
    <t xml:space="preserve">Total Costs</t>
  </si>
  <si>
    <t xml:space="preserve">Closing cash as % of starting capital (Month 12)</t>
  </si>
  <si>
    <t xml:space="preserve">Revenue growth, Month-1 run-rate vs Q4 monthly average</t>
  </si>
  <si>
    <t xml:space="preserve">Z-GATE LTD — Financial Summary (90-Day Detail + 12-Month Outlook)</t>
  </si>
  <si>
    <t xml:space="preserve">Rows 1-4 pulled from Cash Flow and Revenue &amp; Cost Model sheets (90-day detail). The 12-Month Outlook table below pulls from the 12-Month Cash Flow sheet.</t>
  </si>
  <si>
    <t xml:space="preserve">Metric</t>
  </si>
  <si>
    <t xml:space="preserve">Total Revenue (RWF)</t>
  </si>
  <si>
    <t xml:space="preserve">Total Costs (RWF)</t>
  </si>
  <si>
    <t xml:space="preserve">Net Cash Flow (RWF)</t>
  </si>
  <si>
    <t xml:space="preserve">Closing Cash Balance (RWF)</t>
  </si>
  <si>
    <t xml:space="preserve">KEY TAKEAWAYS</t>
  </si>
  <si>
    <t xml:space="preserve">•  Revenue accelerates every month as Advisory retainers grow (3 → 7 → 10 clients) and Academy's first two cohorts land in Months 2–3.</t>
  </si>
  <si>
    <t xml:space="preserve">•  Costs are heaviest in Month 1 (launch/legal/marketing) and shift toward staffing as Tech and Data hires start in Month 3.</t>
  </si>
  <si>
    <t xml:space="preserve">•  The model projects a modest net use of cash over 90 days, ending with the large majority of starting capital retained — consistent with an intentional launch-quarter investment, not a shortfall.</t>
  </si>
  <si>
    <t xml:space="preserve">•  The RWF 500,000 contingency reserve is held untouched in this base case; treat it as insurance against the risks named in the Business Plan's risk register, not as spendable budget.</t>
  </si>
  <si>
    <t xml:space="preserve">•  Beyond Day 90, the 12-Month Outlook (Assumptions Table C) projects continued Advisory client growth (10 → 26), a second Advisory hire in Q4, and Tech external revenue ramping from RWF 1.2M to RWF 2.4M per quarter — treat Q2-Q4 as directional planning figures, not a committed forecast.</t>
  </si>
  <si>
    <t xml:space="preserve">12-MONTH OUTLOOK</t>
  </si>
  <si>
    <t xml:space="preserve">Q1 (Mo 1-3)</t>
  </si>
  <si>
    <t xml:space="preserve">Revenue (RWF)</t>
  </si>
  <si>
    <t xml:space="preserve">Costs (RWF)</t>
  </si>
  <si>
    <t xml:space="preserve">Chart Data</t>
  </si>
  <si>
    <t xml:space="preserve">Revenue</t>
  </si>
  <si>
    <t xml:space="preserve">Costs</t>
  </si>
  <si>
    <t xml:space="preserve">Chart Data (12-Month)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</si>
</sst>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0.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0F1A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0B0F1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AA0AC"/>
      <name val="Arial"/>
      <family val="0"/>
      <charset val="1"/>
    </font>
    <font>
      <sz val="9"/>
      <color rgb="FF9AA0A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B0F1A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9F9F9"/>
      </patternFill>
    </fill>
    <fill>
      <patternFill patternType="solid">
        <fgColor rgb="FFC9A15A"/>
        <bgColor rgb="FF9AA0AC"/>
      </patternFill>
    </fill>
    <fill>
      <patternFill patternType="solid">
        <fgColor rgb="FF3FAE7A"/>
        <bgColor rgb="FF33CCCC"/>
      </patternFill>
    </fill>
    <fill>
      <patternFill patternType="solid">
        <fgColor rgb="FF3F8CFA"/>
        <bgColor rgb="FF4F81BD"/>
      </patternFill>
    </fill>
    <fill>
      <patternFill patternType="solid">
        <fgColor rgb="FFA85CF6"/>
        <bgColor rgb="FFCC99FF"/>
      </patternFill>
    </fill>
    <fill>
      <patternFill patternType="solid">
        <fgColor rgb="FFE8E9ED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A85CF6"/>
      <rgbColor rgb="FFC0504D"/>
      <rgbColor rgb="FFF9F9F9"/>
      <rgbColor rgb="FFF3F4F6"/>
      <rgbColor rgb="FF660066"/>
      <rgbColor rgb="FFC9A15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9ED"/>
      <rgbColor rgb="FFCCFFCC"/>
      <rgbColor rgb="FFFFFF99"/>
      <rgbColor rgb="FF99CCFF"/>
      <rgbColor rgb="FFFF99CC"/>
      <rgbColor rgb="FFCC99FF"/>
      <rgbColor rgb="FFFFCC99"/>
      <rgbColor rgb="FF3F8CFA"/>
      <rgbColor rgb="FF33CCCC"/>
      <rgbColor rgb="FF99CC00"/>
      <rgbColor rgb="FFFFCC00"/>
      <rgbColor rgb="FFFF9900"/>
      <rgbColor rgb="FFFF6600"/>
      <rgbColor rgb="FF6B7280"/>
      <rgbColor rgb="FF9AA0AC"/>
      <rgbColor rgb="FF003366"/>
      <rgbColor rgb="FF3FAE7A"/>
      <rgbColor rgb="FF0B0F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Costs by Month (RWF)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Dashboard'!B24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Dashboard'!$A$25:$A$27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'Summary Dashboard'!$B$25:$B$27</c:f>
              <c:numCache>
                <c:formatCode>#,##0;\(#,##0\);\-</c:formatCode>
                <c:ptCount val="3"/>
                <c:pt idx="0">
                  <c:v>450000</c:v>
                </c:pt>
                <c:pt idx="1">
                  <c:v>1770000</c:v>
                </c:pt>
                <c:pt idx="2">
                  <c:v>2400000</c:v>
                </c:pt>
              </c:numCache>
            </c:numRef>
          </c:val>
        </c:ser>
        <c:ser>
          <c:idx val="1"/>
          <c:order val="1"/>
          <c:tx>
            <c:strRef>
              <c:f>'Summary Dashboard'!C24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Dashboard'!$A$25:$A$27</c:f>
              <c:strCache>
                <c:ptCount val="3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</c:strCache>
            </c:strRef>
          </c:cat>
          <c:val>
            <c:numRef>
              <c:f>'Summary Dashboard'!$C$25:$C$27</c:f>
              <c:numCache>
                <c:formatCode>#,##0;\(#,##0\);\-</c:formatCode>
                <c:ptCount val="3"/>
                <c:pt idx="0">
                  <c:v>1600000</c:v>
                </c:pt>
                <c:pt idx="1">
                  <c:v>1500000</c:v>
                </c:pt>
                <c:pt idx="2">
                  <c:v>1850000</c:v>
                </c:pt>
              </c:numCache>
            </c:numRef>
          </c:val>
        </c:ser>
        <c:gapWidth val="150"/>
        <c:overlap val="0"/>
        <c:axId val="32204522"/>
        <c:axId val="9695554"/>
      </c:barChart>
      <c:catAx>
        <c:axId val="32204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5554"/>
        <c:crosses val="autoZero"/>
        <c:auto val="1"/>
        <c:lblAlgn val="ctr"/>
        <c:lblOffset val="100"/>
        <c:noMultiLvlLbl val="0"/>
      </c:catAx>
      <c:valAx>
        <c:axId val="9695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RWF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04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12-Month Outlook — Revenue vs Costs by Quarter (RWF)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Dashboard'!B46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Dashboard'!$A$47:$A$50</c:f>
              <c:strCache>
                <c:ptCount val="4"/>
                <c:pt idx="0">
                  <c:v>Q1 (Mo 1-3)</c:v>
                </c:pt>
                <c:pt idx="1">
                  <c:v>Q2 (Mo 4-6)</c:v>
                </c:pt>
                <c:pt idx="2">
                  <c:v>Q3 (Mo 7-9)</c:v>
                </c:pt>
                <c:pt idx="3">
                  <c:v>Q4 (Mo 10-12)</c:v>
                </c:pt>
              </c:strCache>
            </c:strRef>
          </c:cat>
          <c:val>
            <c:numRef>
              <c:f>'Summary Dashboard'!$B$47:$B$50</c:f>
              <c:numCache>
                <c:formatCode>#,##0;\(#,##0\);\-</c:formatCode>
                <c:ptCount val="4"/>
                <c:pt idx="0">
                  <c:v>4620000</c:v>
                </c:pt>
                <c:pt idx="1">
                  <c:v>10020000</c:v>
                </c:pt>
                <c:pt idx="2">
                  <c:v>14220000</c:v>
                </c:pt>
                <c:pt idx="3">
                  <c:v>19140000</c:v>
                </c:pt>
              </c:numCache>
            </c:numRef>
          </c:val>
        </c:ser>
        <c:ser>
          <c:idx val="1"/>
          <c:order val="1"/>
          <c:tx>
            <c:strRef>
              <c:f>'Summary Dashboard'!C46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Dashboard'!$A$47:$A$50</c:f>
              <c:strCache>
                <c:ptCount val="4"/>
                <c:pt idx="0">
                  <c:v>Q1 (Mo 1-3)</c:v>
                </c:pt>
                <c:pt idx="1">
                  <c:v>Q2 (Mo 4-6)</c:v>
                </c:pt>
                <c:pt idx="2">
                  <c:v>Q3 (Mo 7-9)</c:v>
                </c:pt>
                <c:pt idx="3">
                  <c:v>Q4 (Mo 10-12)</c:v>
                </c:pt>
              </c:strCache>
            </c:strRef>
          </c:cat>
          <c:val>
            <c:numRef>
              <c:f>'Summary Dashboard'!$C$47:$C$50</c:f>
              <c:numCache>
                <c:formatCode>#,##0;\(#,##0\);\-</c:formatCode>
                <c:ptCount val="4"/>
                <c:pt idx="0">
                  <c:v>4950000</c:v>
                </c:pt>
                <c:pt idx="1">
                  <c:v>5400000</c:v>
                </c:pt>
                <c:pt idx="2">
                  <c:v>5400000</c:v>
                </c:pt>
                <c:pt idx="3">
                  <c:v>6000000</c:v>
                </c:pt>
              </c:numCache>
            </c:numRef>
          </c:val>
        </c:ser>
        <c:gapWidth val="150"/>
        <c:overlap val="0"/>
        <c:axId val="38381555"/>
        <c:axId val="36719942"/>
      </c:barChart>
      <c:catAx>
        <c:axId val="383815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19942"/>
        <c:crosses val="autoZero"/>
        <c:auto val="1"/>
        <c:lblAlgn val="ctr"/>
        <c:lblOffset val="100"/>
        <c:noMultiLvlLbl val="0"/>
      </c:catAx>
      <c:valAx>
        <c:axId val="36719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RWF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815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160560</xdr:rowOff>
    </xdr:from>
    <xdr:to>
      <xdr:col>3</xdr:col>
      <xdr:colOff>825840</xdr:colOff>
      <xdr:row>43</xdr:row>
      <xdr:rowOff>182880</xdr:rowOff>
    </xdr:to>
    <xdr:graphicFrame>
      <xdr:nvGraphicFramePr>
        <xdr:cNvPr id="0" name="Chart 1"/>
        <xdr:cNvGraphicFramePr/>
      </xdr:nvGraphicFramePr>
      <xdr:xfrm>
        <a:off x="0" y="6334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51</xdr:row>
      <xdr:rowOff>160920</xdr:rowOff>
    </xdr:from>
    <xdr:to>
      <xdr:col>3</xdr:col>
      <xdr:colOff>825840</xdr:colOff>
      <xdr:row>66</xdr:row>
      <xdr:rowOff>182880</xdr:rowOff>
    </xdr:to>
    <xdr:graphicFrame>
      <xdr:nvGraphicFramePr>
        <xdr:cNvPr id="1" name="Chart 2"/>
        <xdr:cNvGraphicFramePr/>
      </xdr:nvGraphicFramePr>
      <xdr:xfrm>
        <a:off x="0" y="107157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5"/>
    </row>
    <row r="6" customFormat="false" ht="15" hidden="false" customHeight="false" outlineLevel="0" collapsed="false">
      <c r="A6" s="6" t="s">
        <v>5</v>
      </c>
      <c r="B6" s="5" t="s">
        <v>6</v>
      </c>
      <c r="C6" s="5"/>
      <c r="D6" s="5"/>
      <c r="E6" s="5"/>
    </row>
    <row r="7" customFormat="false" ht="15" hidden="false" customHeight="false" outlineLevel="0" collapsed="false">
      <c r="A7" s="6" t="s">
        <v>7</v>
      </c>
      <c r="B7" s="5" t="s">
        <v>8</v>
      </c>
      <c r="C7" s="5"/>
      <c r="D7" s="5"/>
      <c r="E7" s="5"/>
    </row>
    <row r="8" customFormat="false" ht="15" hidden="false" customHeight="true" outlineLevel="0" collapsed="false">
      <c r="A8" s="3" t="s">
        <v>9</v>
      </c>
      <c r="B8" s="3"/>
      <c r="C8" s="3"/>
      <c r="D8" s="3"/>
      <c r="E8" s="3"/>
    </row>
    <row r="9" customFormat="false" ht="15" hidden="false" customHeight="false" outlineLevel="0" collapsed="false">
      <c r="A9" s="7" t="s">
        <v>10</v>
      </c>
      <c r="B9" s="7" t="s">
        <v>11</v>
      </c>
      <c r="C9" s="7"/>
      <c r="D9" s="7"/>
      <c r="E9" s="7" t="s">
        <v>12</v>
      </c>
    </row>
    <row r="10" customFormat="false" ht="22.35" hidden="false" customHeight="false" outlineLevel="0" collapsed="false">
      <c r="A10" s="8" t="s">
        <v>13</v>
      </c>
      <c r="B10" s="9" t="n">
        <v>5000000</v>
      </c>
      <c r="E10" s="10" t="s">
        <v>14</v>
      </c>
    </row>
    <row r="11" customFormat="false" ht="23.85" hidden="false" customHeight="false" outlineLevel="0" collapsed="false">
      <c r="A11" s="8" t="s">
        <v>15</v>
      </c>
      <c r="B11" s="9" t="n">
        <v>150000</v>
      </c>
      <c r="E11" s="10" t="s">
        <v>16</v>
      </c>
    </row>
    <row r="12" customFormat="false" ht="15" hidden="false" customHeight="false" outlineLevel="0" collapsed="false">
      <c r="A12" s="8" t="s">
        <v>17</v>
      </c>
      <c r="B12" s="9" t="n">
        <v>40000</v>
      </c>
      <c r="E12" s="10" t="s">
        <v>18</v>
      </c>
    </row>
    <row r="13" customFormat="false" ht="15" hidden="false" customHeight="false" outlineLevel="0" collapsed="false">
      <c r="A13" s="8" t="s">
        <v>19</v>
      </c>
      <c r="B13" s="9" t="n">
        <v>300000</v>
      </c>
      <c r="E13" s="10" t="s">
        <v>20</v>
      </c>
    </row>
    <row r="14" customFormat="false" ht="23.85" hidden="false" customHeight="false" outlineLevel="0" collapsed="false">
      <c r="A14" s="8" t="s">
        <v>21</v>
      </c>
      <c r="B14" s="9" t="n">
        <v>500000</v>
      </c>
      <c r="E14" s="10" t="s">
        <v>22</v>
      </c>
    </row>
    <row r="16" customFormat="false" ht="15" hidden="false" customHeight="true" outlineLevel="0" collapsed="false">
      <c r="A16" s="3" t="s">
        <v>23</v>
      </c>
      <c r="B16" s="3"/>
      <c r="C16" s="3"/>
      <c r="D16" s="3"/>
      <c r="E16" s="3"/>
    </row>
    <row r="17" customFormat="false" ht="15" hidden="false" customHeight="false" outlineLevel="0" collapsed="false">
      <c r="A17" s="7" t="s">
        <v>10</v>
      </c>
      <c r="B17" s="7" t="s">
        <v>24</v>
      </c>
      <c r="C17" s="7" t="s">
        <v>25</v>
      </c>
      <c r="D17" s="7" t="s">
        <v>26</v>
      </c>
      <c r="E17" s="7" t="s">
        <v>27</v>
      </c>
    </row>
    <row r="18" customFormat="false" ht="15" hidden="false" customHeight="true" outlineLevel="0" collapsed="false">
      <c r="A18" s="11" t="s">
        <v>28</v>
      </c>
      <c r="B18" s="11"/>
      <c r="C18" s="11"/>
      <c r="D18" s="11"/>
      <c r="E18" s="12"/>
    </row>
    <row r="19" customFormat="false" ht="22.35" hidden="false" customHeight="false" outlineLevel="0" collapsed="false">
      <c r="A19" s="8" t="s">
        <v>29</v>
      </c>
      <c r="B19" s="9" t="n">
        <v>3</v>
      </c>
      <c r="C19" s="9" t="n">
        <v>7</v>
      </c>
      <c r="D19" s="9" t="n">
        <v>10</v>
      </c>
      <c r="E19" s="10" t="s">
        <v>30</v>
      </c>
    </row>
    <row r="20" customFormat="false" ht="15" hidden="false" customHeight="false" outlineLevel="0" collapsed="false">
      <c r="A20" s="8" t="s">
        <v>31</v>
      </c>
      <c r="B20" s="9" t="n">
        <v>0</v>
      </c>
      <c r="C20" s="9" t="n">
        <v>18</v>
      </c>
      <c r="D20" s="9" t="n">
        <v>15</v>
      </c>
      <c r="E20" s="10" t="s">
        <v>32</v>
      </c>
    </row>
    <row r="21" customFormat="false" ht="15" hidden="false" customHeight="false" outlineLevel="0" collapsed="false">
      <c r="A21" s="8" t="s">
        <v>33</v>
      </c>
      <c r="B21" s="9" t="n">
        <v>0</v>
      </c>
      <c r="C21" s="9" t="n">
        <v>0</v>
      </c>
      <c r="D21" s="9" t="n">
        <v>1</v>
      </c>
      <c r="E21" s="10" t="s">
        <v>34</v>
      </c>
    </row>
    <row r="22" customFormat="false" ht="23.85" hidden="false" customHeight="false" outlineLevel="0" collapsed="false">
      <c r="A22" s="8" t="s">
        <v>35</v>
      </c>
      <c r="B22" s="9" t="n">
        <v>0</v>
      </c>
      <c r="C22" s="9" t="n">
        <v>0</v>
      </c>
      <c r="D22" s="9" t="n">
        <v>0</v>
      </c>
      <c r="E22" s="10" t="s">
        <v>36</v>
      </c>
    </row>
    <row r="23" customFormat="false" ht="15" hidden="false" customHeight="true" outlineLevel="0" collapsed="false">
      <c r="A23" s="11" t="s">
        <v>37</v>
      </c>
      <c r="B23" s="11"/>
      <c r="C23" s="11"/>
      <c r="D23" s="11"/>
      <c r="E23" s="12"/>
    </row>
    <row r="24" customFormat="false" ht="15" hidden="false" customHeight="false" outlineLevel="0" collapsed="false">
      <c r="A24" s="8" t="s">
        <v>38</v>
      </c>
      <c r="B24" s="9" t="n">
        <v>250000</v>
      </c>
      <c r="C24" s="9" t="n">
        <v>250000</v>
      </c>
      <c r="D24" s="9" t="n">
        <v>250000</v>
      </c>
      <c r="E24" s="10" t="s">
        <v>39</v>
      </c>
    </row>
    <row r="25" customFormat="false" ht="15" hidden="false" customHeight="false" outlineLevel="0" collapsed="false">
      <c r="A25" s="8" t="s">
        <v>40</v>
      </c>
      <c r="B25" s="9" t="n">
        <v>150000</v>
      </c>
      <c r="C25" s="9" t="n">
        <v>150000</v>
      </c>
      <c r="D25" s="9" t="n">
        <v>150000</v>
      </c>
      <c r="E25" s="10" t="s">
        <v>39</v>
      </c>
    </row>
    <row r="26" customFormat="false" ht="15" hidden="false" customHeight="false" outlineLevel="0" collapsed="false">
      <c r="A26" s="8" t="s">
        <v>41</v>
      </c>
      <c r="B26" s="9" t="n">
        <v>0</v>
      </c>
      <c r="C26" s="9" t="n">
        <v>200000</v>
      </c>
      <c r="D26" s="9" t="n">
        <v>200000</v>
      </c>
      <c r="E26" s="10" t="s">
        <v>42</v>
      </c>
    </row>
    <row r="27" customFormat="false" ht="15" hidden="false" customHeight="false" outlineLevel="0" collapsed="false">
      <c r="A27" s="8" t="s">
        <v>43</v>
      </c>
      <c r="B27" s="9" t="n">
        <v>0</v>
      </c>
      <c r="C27" s="9" t="n">
        <v>0</v>
      </c>
      <c r="D27" s="9" t="n">
        <v>300000</v>
      </c>
      <c r="E27" s="10" t="s">
        <v>44</v>
      </c>
    </row>
    <row r="28" customFormat="false" ht="15" hidden="false" customHeight="false" outlineLevel="0" collapsed="false">
      <c r="A28" s="8" t="s">
        <v>45</v>
      </c>
      <c r="B28" s="9" t="n">
        <v>0</v>
      </c>
      <c r="C28" s="9" t="n">
        <v>0</v>
      </c>
      <c r="D28" s="9" t="n">
        <v>300000</v>
      </c>
      <c r="E28" s="10" t="s">
        <v>44</v>
      </c>
    </row>
    <row r="29" customFormat="false" ht="15" hidden="false" customHeight="true" outlineLevel="0" collapsed="false">
      <c r="A29" s="11" t="s">
        <v>46</v>
      </c>
      <c r="B29" s="11"/>
      <c r="C29" s="11"/>
      <c r="D29" s="11"/>
      <c r="E29" s="12"/>
    </row>
    <row r="30" customFormat="false" ht="15" hidden="false" customHeight="false" outlineLevel="0" collapsed="false">
      <c r="A30" s="8" t="s">
        <v>47</v>
      </c>
      <c r="B30" s="9" t="n">
        <v>500000</v>
      </c>
      <c r="C30" s="9" t="n">
        <v>400000</v>
      </c>
      <c r="D30" s="9" t="n">
        <v>350000</v>
      </c>
      <c r="E30" s="10" t="s">
        <v>48</v>
      </c>
    </row>
    <row r="31" customFormat="false" ht="23.85" hidden="false" customHeight="false" outlineLevel="0" collapsed="false">
      <c r="A31" s="8" t="s">
        <v>49</v>
      </c>
      <c r="B31" s="9" t="n">
        <v>350000</v>
      </c>
      <c r="C31" s="9" t="n">
        <v>350000</v>
      </c>
      <c r="D31" s="9" t="n">
        <v>300000</v>
      </c>
      <c r="E31" s="10"/>
    </row>
    <row r="32" customFormat="false" ht="15" hidden="false" customHeight="false" outlineLevel="0" collapsed="false">
      <c r="A32" s="8" t="s">
        <v>50</v>
      </c>
      <c r="B32" s="9" t="n">
        <v>350000</v>
      </c>
      <c r="C32" s="9" t="n">
        <v>150000</v>
      </c>
      <c r="D32" s="9" t="n">
        <v>0</v>
      </c>
      <c r="E32" s="10" t="s">
        <v>51</v>
      </c>
    </row>
    <row r="34" customFormat="false" ht="15" hidden="false" customHeight="true" outlineLevel="0" collapsed="false">
      <c r="A34" s="3" t="s">
        <v>52</v>
      </c>
      <c r="B34" s="3"/>
      <c r="C34" s="3"/>
      <c r="D34" s="3"/>
      <c r="E34" s="3"/>
    </row>
    <row r="35" customFormat="false" ht="15" hidden="false" customHeight="false" outlineLevel="0" collapsed="false">
      <c r="A35" s="7" t="s">
        <v>10</v>
      </c>
      <c r="B35" s="7" t="s">
        <v>53</v>
      </c>
      <c r="C35" s="7" t="s">
        <v>54</v>
      </c>
      <c r="D35" s="7" t="s">
        <v>55</v>
      </c>
      <c r="E35" s="7" t="s">
        <v>27</v>
      </c>
    </row>
    <row r="36" customFormat="false" ht="15" hidden="false" customHeight="true" outlineLevel="0" collapsed="false">
      <c r="A36" s="11" t="s">
        <v>28</v>
      </c>
      <c r="B36" s="11"/>
      <c r="C36" s="11"/>
      <c r="D36" s="11"/>
      <c r="E36" s="12"/>
    </row>
    <row r="37" customFormat="false" ht="23.85" hidden="false" customHeight="false" outlineLevel="0" collapsed="false">
      <c r="A37" s="8" t="s">
        <v>56</v>
      </c>
      <c r="B37" s="9" t="n">
        <v>14</v>
      </c>
      <c r="C37" s="9" t="n">
        <v>20</v>
      </c>
      <c r="D37" s="9" t="n">
        <v>26</v>
      </c>
      <c r="E37" s="10" t="s">
        <v>57</v>
      </c>
    </row>
    <row r="38" customFormat="false" ht="15" hidden="false" customHeight="false" outlineLevel="0" collapsed="false">
      <c r="A38" s="8" t="s">
        <v>58</v>
      </c>
      <c r="B38" s="9" t="n">
        <v>18</v>
      </c>
      <c r="C38" s="9" t="n">
        <v>18</v>
      </c>
      <c r="D38" s="9" t="n">
        <v>36</v>
      </c>
      <c r="E38" s="10" t="s">
        <v>59</v>
      </c>
    </row>
    <row r="39" customFormat="false" ht="15" hidden="false" customHeight="false" outlineLevel="0" collapsed="false">
      <c r="A39" s="8" t="s">
        <v>60</v>
      </c>
      <c r="B39" s="9" t="n">
        <v>2</v>
      </c>
      <c r="C39" s="9" t="n">
        <v>3</v>
      </c>
      <c r="D39" s="9" t="n">
        <v>4</v>
      </c>
      <c r="E39" s="10" t="s">
        <v>61</v>
      </c>
    </row>
    <row r="40" customFormat="false" ht="23.85" hidden="false" customHeight="false" outlineLevel="0" collapsed="false">
      <c r="A40" s="8" t="s">
        <v>62</v>
      </c>
      <c r="B40" s="9" t="n">
        <v>1200000</v>
      </c>
      <c r="C40" s="9" t="n">
        <v>1800000</v>
      </c>
      <c r="D40" s="9" t="n">
        <v>2400000</v>
      </c>
      <c r="E40" s="10" t="s">
        <v>63</v>
      </c>
    </row>
    <row r="41" customFormat="false" ht="15" hidden="false" customHeight="true" outlineLevel="0" collapsed="false">
      <c r="A41" s="11" t="s">
        <v>64</v>
      </c>
      <c r="B41" s="11"/>
      <c r="C41" s="11"/>
      <c r="D41" s="11"/>
      <c r="E41" s="12"/>
    </row>
    <row r="42" customFormat="false" ht="15" hidden="false" customHeight="false" outlineLevel="0" collapsed="false">
      <c r="A42" s="8" t="s">
        <v>65</v>
      </c>
      <c r="B42" s="9" t="n">
        <v>3600000</v>
      </c>
      <c r="C42" s="9" t="n">
        <v>3600000</v>
      </c>
      <c r="D42" s="9" t="n">
        <v>4200000</v>
      </c>
      <c r="E42" s="10" t="s">
        <v>66</v>
      </c>
    </row>
    <row r="43" customFormat="false" ht="15" hidden="false" customHeight="false" outlineLevel="0" collapsed="false">
      <c r="A43" s="8" t="s">
        <v>67</v>
      </c>
      <c r="B43" s="9" t="n">
        <v>750000</v>
      </c>
      <c r="C43" s="9" t="n">
        <v>750000</v>
      </c>
      <c r="D43" s="9" t="n">
        <v>750000</v>
      </c>
      <c r="E43" s="10" t="s">
        <v>68</v>
      </c>
    </row>
    <row r="44" customFormat="false" ht="15" hidden="false" customHeight="false" outlineLevel="0" collapsed="false">
      <c r="A44" s="8" t="s">
        <v>69</v>
      </c>
      <c r="B44" s="9" t="n">
        <v>900000</v>
      </c>
      <c r="C44" s="9" t="n">
        <v>900000</v>
      </c>
      <c r="D44" s="9" t="n">
        <v>900000</v>
      </c>
      <c r="E44" s="10" t="s">
        <v>70</v>
      </c>
    </row>
    <row r="45" customFormat="false" ht="22.35" hidden="false" customHeight="false" outlineLevel="0" collapsed="false">
      <c r="A45" s="8" t="s">
        <v>71</v>
      </c>
      <c r="B45" s="9" t="n">
        <v>150000</v>
      </c>
      <c r="C45" s="9" t="n">
        <v>150000</v>
      </c>
      <c r="D45" s="9" t="n">
        <v>150000</v>
      </c>
      <c r="E45" s="10" t="s">
        <v>72</v>
      </c>
    </row>
  </sheetData>
  <mergeCells count="14">
    <mergeCell ref="A1:E1"/>
    <mergeCell ref="A2:E2"/>
    <mergeCell ref="A4:E4"/>
    <mergeCell ref="B5:E5"/>
    <mergeCell ref="B6:E6"/>
    <mergeCell ref="B7:E7"/>
    <mergeCell ref="A8:E8"/>
    <mergeCell ref="A16:E16"/>
    <mergeCell ref="A18:D18"/>
    <mergeCell ref="A23:D23"/>
    <mergeCell ref="A29:D29"/>
    <mergeCell ref="A34:E34"/>
    <mergeCell ref="A36:D36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73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74</v>
      </c>
      <c r="B2" s="2"/>
      <c r="C2" s="2"/>
      <c r="D2" s="2"/>
      <c r="E2" s="2"/>
    </row>
    <row r="4" customFormat="false" ht="15" hidden="false" customHeight="false" outlineLevel="0" collapsed="false">
      <c r="A4" s="7" t="s">
        <v>75</v>
      </c>
      <c r="B4" s="7" t="s">
        <v>24</v>
      </c>
      <c r="C4" s="7" t="s">
        <v>25</v>
      </c>
      <c r="D4" s="7" t="s">
        <v>26</v>
      </c>
      <c r="E4" s="7" t="s">
        <v>76</v>
      </c>
    </row>
    <row r="5" customFormat="false" ht="15" hidden="false" customHeight="true" outlineLevel="0" collapsed="false">
      <c r="A5" s="3" t="s">
        <v>77</v>
      </c>
      <c r="B5" s="3"/>
      <c r="C5" s="3"/>
      <c r="D5" s="3"/>
      <c r="E5" s="3"/>
    </row>
    <row r="6" customFormat="false" ht="15" hidden="false" customHeight="false" outlineLevel="0" collapsed="false">
      <c r="A6" s="13" t="s">
        <v>78</v>
      </c>
      <c r="B6" s="14" t="n">
        <f aca="false">Assumptions!$B$19*Assumptions!$B$11</f>
        <v>450000</v>
      </c>
      <c r="C6" s="14" t="n">
        <f aca="false">Assumptions!$C$19*Assumptions!$B$11</f>
        <v>1050000</v>
      </c>
      <c r="D6" s="14" t="n">
        <f aca="false">Assumptions!$D$19*Assumptions!$B$11</f>
        <v>1500000</v>
      </c>
      <c r="E6" s="15" t="n">
        <f aca="false">SUM(B6:D6)</f>
        <v>3000000</v>
      </c>
    </row>
    <row r="7" customFormat="false" ht="15" hidden="false" customHeight="false" outlineLevel="0" collapsed="false">
      <c r="A7" s="16" t="s">
        <v>79</v>
      </c>
      <c r="B7" s="14" t="n">
        <f aca="false">Assumptions!$B$20*Assumptions!$B$12</f>
        <v>0</v>
      </c>
      <c r="C7" s="14" t="n">
        <f aca="false">Assumptions!$C$20*Assumptions!$B$12</f>
        <v>720000</v>
      </c>
      <c r="D7" s="14" t="n">
        <f aca="false">Assumptions!$D$20*Assumptions!$B$12</f>
        <v>600000</v>
      </c>
      <c r="E7" s="15" t="n">
        <f aca="false">SUM(B7:D7)</f>
        <v>1320000</v>
      </c>
    </row>
    <row r="8" customFormat="false" ht="15" hidden="false" customHeight="false" outlineLevel="0" collapsed="false">
      <c r="A8" s="17" t="s">
        <v>80</v>
      </c>
      <c r="B8" s="14" t="n">
        <f aca="false">Assumptions!$B$22</f>
        <v>0</v>
      </c>
      <c r="C8" s="14" t="n">
        <f aca="false">Assumptions!$C$22</f>
        <v>0</v>
      </c>
      <c r="D8" s="14" t="n">
        <f aca="false">Assumptions!$D$22</f>
        <v>0</v>
      </c>
      <c r="E8" s="15" t="n">
        <f aca="false">SUM(B8:D8)</f>
        <v>0</v>
      </c>
    </row>
    <row r="9" customFormat="false" ht="15" hidden="false" customHeight="false" outlineLevel="0" collapsed="false">
      <c r="A9" s="18" t="s">
        <v>81</v>
      </c>
      <c r="B9" s="14" t="n">
        <f aca="false">Assumptions!$B$21*Assumptions!$B$13</f>
        <v>0</v>
      </c>
      <c r="C9" s="14" t="n">
        <f aca="false">Assumptions!$C$21*Assumptions!$B$13</f>
        <v>0</v>
      </c>
      <c r="D9" s="14" t="n">
        <f aca="false">Assumptions!$D$21*Assumptions!$B$13</f>
        <v>300000</v>
      </c>
      <c r="E9" s="15" t="n">
        <f aca="false">SUM(B9:D9)</f>
        <v>300000</v>
      </c>
    </row>
    <row r="10" customFormat="false" ht="15" hidden="false" customHeight="false" outlineLevel="0" collapsed="false">
      <c r="A10" s="19" t="s">
        <v>82</v>
      </c>
      <c r="B10" s="20" t="n">
        <f aca="false">SUM(B6:B9)</f>
        <v>450000</v>
      </c>
      <c r="C10" s="20" t="n">
        <f aca="false">SUM(C6:C9)</f>
        <v>1770000</v>
      </c>
      <c r="D10" s="20" t="n">
        <f aca="false">SUM(D6:D9)</f>
        <v>2400000</v>
      </c>
      <c r="E10" s="20" t="n">
        <f aca="false">SUM(E6:E9)</f>
        <v>4620000</v>
      </c>
    </row>
    <row r="12" customFormat="false" ht="15" hidden="false" customHeight="true" outlineLevel="0" collapsed="false">
      <c r="A12" s="3" t="s">
        <v>83</v>
      </c>
      <c r="B12" s="3"/>
      <c r="C12" s="3"/>
      <c r="D12" s="3"/>
      <c r="E12" s="3"/>
    </row>
    <row r="13" customFormat="false" ht="15" hidden="false" customHeight="false" outlineLevel="0" collapsed="false">
      <c r="A13" s="8" t="s">
        <v>38</v>
      </c>
      <c r="B13" s="14" t="n">
        <f aca="false">Assumptions!$B$24</f>
        <v>250000</v>
      </c>
      <c r="C13" s="14" t="n">
        <f aca="false">Assumptions!$C$24</f>
        <v>250000</v>
      </c>
      <c r="D13" s="14" t="n">
        <f aca="false">Assumptions!$D$24</f>
        <v>250000</v>
      </c>
      <c r="E13" s="15" t="n">
        <f aca="false">SUM(B13:D13)</f>
        <v>750000</v>
      </c>
    </row>
    <row r="14" customFormat="false" ht="15" hidden="false" customHeight="false" outlineLevel="0" collapsed="false">
      <c r="A14" s="8" t="s">
        <v>40</v>
      </c>
      <c r="B14" s="14" t="n">
        <f aca="false">Assumptions!$B$25</f>
        <v>150000</v>
      </c>
      <c r="C14" s="14" t="n">
        <f aca="false">Assumptions!$C$25</f>
        <v>150000</v>
      </c>
      <c r="D14" s="14" t="n">
        <f aca="false">Assumptions!$D$25</f>
        <v>150000</v>
      </c>
      <c r="E14" s="15" t="n">
        <f aca="false">SUM(B14:D14)</f>
        <v>450000</v>
      </c>
    </row>
    <row r="15" customFormat="false" ht="15" hidden="false" customHeight="false" outlineLevel="0" collapsed="false">
      <c r="A15" s="8" t="s">
        <v>41</v>
      </c>
      <c r="B15" s="14" t="n">
        <f aca="false">Assumptions!$B$26</f>
        <v>0</v>
      </c>
      <c r="C15" s="14" t="n">
        <f aca="false">Assumptions!$C$26</f>
        <v>200000</v>
      </c>
      <c r="D15" s="14" t="n">
        <f aca="false">Assumptions!$D$26</f>
        <v>200000</v>
      </c>
      <c r="E15" s="15" t="n">
        <f aca="false">SUM(B15:D15)</f>
        <v>400000</v>
      </c>
    </row>
    <row r="16" customFormat="false" ht="15" hidden="false" customHeight="false" outlineLevel="0" collapsed="false">
      <c r="A16" s="8" t="s">
        <v>43</v>
      </c>
      <c r="B16" s="14" t="n">
        <f aca="false">Assumptions!$B$27</f>
        <v>0</v>
      </c>
      <c r="C16" s="14" t="n">
        <f aca="false">Assumptions!$C$27</f>
        <v>0</v>
      </c>
      <c r="D16" s="14" t="n">
        <f aca="false">Assumptions!$D$27</f>
        <v>300000</v>
      </c>
      <c r="E16" s="15" t="n">
        <f aca="false">SUM(B16:D16)</f>
        <v>300000</v>
      </c>
    </row>
    <row r="17" customFormat="false" ht="15" hidden="false" customHeight="false" outlineLevel="0" collapsed="false">
      <c r="A17" s="8" t="s">
        <v>45</v>
      </c>
      <c r="B17" s="14" t="n">
        <f aca="false">Assumptions!$B$28</f>
        <v>0</v>
      </c>
      <c r="C17" s="14" t="n">
        <f aca="false">Assumptions!$C$28</f>
        <v>0</v>
      </c>
      <c r="D17" s="14" t="n">
        <f aca="false">Assumptions!$D$28</f>
        <v>300000</v>
      </c>
      <c r="E17" s="15" t="n">
        <f aca="false">SUM(B17:D17)</f>
        <v>300000</v>
      </c>
    </row>
    <row r="18" customFormat="false" ht="15" hidden="false" customHeight="false" outlineLevel="0" collapsed="false">
      <c r="A18" s="8" t="s">
        <v>47</v>
      </c>
      <c r="B18" s="14" t="n">
        <f aca="false">Assumptions!$B$30</f>
        <v>500000</v>
      </c>
      <c r="C18" s="14" t="n">
        <f aca="false">Assumptions!$C$30</f>
        <v>400000</v>
      </c>
      <c r="D18" s="14" t="n">
        <f aca="false">Assumptions!$D$30</f>
        <v>350000</v>
      </c>
      <c r="E18" s="15" t="n">
        <f aca="false">SUM(B18:D18)</f>
        <v>1250000</v>
      </c>
    </row>
    <row r="19" customFormat="false" ht="23.85" hidden="false" customHeight="false" outlineLevel="0" collapsed="false">
      <c r="A19" s="8" t="s">
        <v>49</v>
      </c>
      <c r="B19" s="14" t="n">
        <f aca="false">Assumptions!$B$31</f>
        <v>350000</v>
      </c>
      <c r="C19" s="14" t="n">
        <f aca="false">Assumptions!$C$31</f>
        <v>350000</v>
      </c>
      <c r="D19" s="14" t="n">
        <f aca="false">Assumptions!$D$31</f>
        <v>300000</v>
      </c>
      <c r="E19" s="15" t="n">
        <f aca="false">SUM(B19:D19)</f>
        <v>1000000</v>
      </c>
    </row>
    <row r="20" customFormat="false" ht="15" hidden="false" customHeight="false" outlineLevel="0" collapsed="false">
      <c r="A20" s="8" t="s">
        <v>50</v>
      </c>
      <c r="B20" s="14" t="n">
        <f aca="false">Assumptions!$B$32</f>
        <v>350000</v>
      </c>
      <c r="C20" s="14" t="n">
        <f aca="false">Assumptions!$C$32</f>
        <v>150000</v>
      </c>
      <c r="D20" s="14" t="n">
        <f aca="false">Assumptions!$D$32</f>
        <v>0</v>
      </c>
      <c r="E20" s="15" t="n">
        <f aca="false">SUM(B20:D20)</f>
        <v>500000</v>
      </c>
    </row>
    <row r="21" customFormat="false" ht="15" hidden="false" customHeight="false" outlineLevel="0" collapsed="false">
      <c r="A21" s="19" t="s">
        <v>84</v>
      </c>
      <c r="B21" s="20" t="n">
        <f aca="false">SUM(B13:B20)</f>
        <v>1600000</v>
      </c>
      <c r="C21" s="20" t="n">
        <f aca="false">SUM(C13:C20)</f>
        <v>1500000</v>
      </c>
      <c r="D21" s="20" t="n">
        <f aca="false">SUM(D13:D20)</f>
        <v>1850000</v>
      </c>
      <c r="E21" s="20" t="n">
        <f aca="false">SUM(E13:E20)</f>
        <v>4950000</v>
      </c>
    </row>
    <row r="23" customFormat="false" ht="15" hidden="false" customHeight="false" outlineLevel="0" collapsed="false">
      <c r="A23" s="21" t="s">
        <v>85</v>
      </c>
      <c r="B23" s="22" t="n">
        <f aca="false">B10-B21</f>
        <v>-1150000</v>
      </c>
      <c r="C23" s="22" t="n">
        <f aca="false">C10-C21</f>
        <v>270000</v>
      </c>
      <c r="D23" s="22" t="n">
        <f aca="false">D10-D21</f>
        <v>550000</v>
      </c>
      <c r="E23" s="22" t="n">
        <f aca="false">E10-E21</f>
        <v>-330000</v>
      </c>
    </row>
  </sheetData>
  <mergeCells count="4">
    <mergeCell ref="A1:E1"/>
    <mergeCell ref="A2:E2"/>
    <mergeCell ref="A5:E5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86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87</v>
      </c>
      <c r="B2" s="2"/>
      <c r="C2" s="2"/>
      <c r="D2" s="2"/>
      <c r="E2" s="2"/>
    </row>
    <row r="4" customFormat="false" ht="15" hidden="false" customHeight="false" outlineLevel="0" collapsed="false">
      <c r="A4" s="7" t="s">
        <v>75</v>
      </c>
      <c r="B4" s="7" t="s">
        <v>24</v>
      </c>
      <c r="C4" s="7" t="s">
        <v>25</v>
      </c>
      <c r="D4" s="7" t="s">
        <v>26</v>
      </c>
      <c r="E4" s="7" t="s">
        <v>76</v>
      </c>
    </row>
    <row r="5" customFormat="false" ht="15" hidden="false" customHeight="false" outlineLevel="0" collapsed="false">
      <c r="A5" s="21" t="s">
        <v>88</v>
      </c>
      <c r="B5" s="14" t="n">
        <f aca="false">Assumptions!$B$10</f>
        <v>5000000</v>
      </c>
    </row>
    <row r="6" customFormat="false" ht="15" hidden="false" customHeight="false" outlineLevel="0" collapsed="false">
      <c r="A6" s="8" t="s">
        <v>89</v>
      </c>
      <c r="B6" s="14" t="n">
        <f aca="false">'Revenue &amp; Cost Model'!B10</f>
        <v>450000</v>
      </c>
      <c r="C6" s="14" t="n">
        <f aca="false">'Revenue &amp; Cost Model'!C10</f>
        <v>1770000</v>
      </c>
      <c r="D6" s="14" t="n">
        <f aca="false">'Revenue &amp; Cost Model'!D10</f>
        <v>2400000</v>
      </c>
      <c r="E6" s="14" t="n">
        <f aca="false">'Revenue &amp; Cost Model'!E10</f>
        <v>4620000</v>
      </c>
    </row>
    <row r="7" customFormat="false" ht="15" hidden="false" customHeight="false" outlineLevel="0" collapsed="false">
      <c r="A7" s="8" t="s">
        <v>90</v>
      </c>
      <c r="B7" s="14" t="n">
        <f aca="false">'Revenue &amp; Cost Model'!B21</f>
        <v>1600000</v>
      </c>
      <c r="C7" s="14" t="n">
        <f aca="false">'Revenue &amp; Cost Model'!C21</f>
        <v>1500000</v>
      </c>
      <c r="D7" s="14" t="n">
        <f aca="false">'Revenue &amp; Cost Model'!D21</f>
        <v>1850000</v>
      </c>
      <c r="E7" s="14" t="n">
        <f aca="false">'Revenue &amp; Cost Model'!E21</f>
        <v>4950000</v>
      </c>
    </row>
    <row r="8" customFormat="false" ht="15" hidden="false" customHeight="false" outlineLevel="0" collapsed="false">
      <c r="A8" s="21" t="s">
        <v>91</v>
      </c>
      <c r="B8" s="22" t="n">
        <f aca="false">B6-B7</f>
        <v>-1150000</v>
      </c>
      <c r="C8" s="22" t="n">
        <f aca="false">C6-C7</f>
        <v>270000</v>
      </c>
      <c r="D8" s="22" t="n">
        <f aca="false">D6-D7</f>
        <v>550000</v>
      </c>
      <c r="E8" s="22" t="n">
        <f aca="false">SUM(B8:D8)</f>
        <v>-330000</v>
      </c>
    </row>
    <row r="9" customFormat="false" ht="15" hidden="false" customHeight="false" outlineLevel="0" collapsed="false">
      <c r="A9" s="23" t="s">
        <v>92</v>
      </c>
      <c r="B9" s="24" t="n">
        <f aca="false">B5+B8</f>
        <v>3850000</v>
      </c>
      <c r="C9" s="24" t="n">
        <f aca="false">B9+C8</f>
        <v>4120000</v>
      </c>
      <c r="D9" s="24" t="n">
        <f aca="false">C9+D8</f>
        <v>4670000</v>
      </c>
      <c r="E9" s="24" t="n">
        <f aca="false">D9</f>
        <v>4670000</v>
      </c>
    </row>
    <row r="12" customFormat="false" ht="15" hidden="false" customHeight="true" outlineLevel="0" collapsed="false">
      <c r="A12" s="3" t="s">
        <v>93</v>
      </c>
      <c r="B12" s="3"/>
      <c r="C12" s="3"/>
      <c r="D12" s="3"/>
      <c r="E12" s="3"/>
    </row>
    <row r="13" customFormat="false" ht="22.35" hidden="false" customHeight="true" outlineLevel="0" collapsed="false">
      <c r="A13" s="8" t="s">
        <v>94</v>
      </c>
      <c r="B13" s="14" t="n">
        <f aca="false">Assumptions!$B$14</f>
        <v>500000</v>
      </c>
      <c r="C13" s="25" t="s">
        <v>95</v>
      </c>
      <c r="D13" s="25"/>
      <c r="E13" s="25"/>
    </row>
    <row r="14" customFormat="false" ht="15" hidden="false" customHeight="false" outlineLevel="0" collapsed="false">
      <c r="A14" s="8" t="s">
        <v>96</v>
      </c>
      <c r="B14" s="26" t="n">
        <f aca="false">D9/B5</f>
        <v>0.934</v>
      </c>
    </row>
  </sheetData>
  <mergeCells count="4">
    <mergeCell ref="A1:E1"/>
    <mergeCell ref="A2:E2"/>
    <mergeCell ref="A12:E12"/>
    <mergeCell ref="C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98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7" t="s">
        <v>75</v>
      </c>
      <c r="B4" s="7" t="s">
        <v>24</v>
      </c>
      <c r="C4" s="7" t="s">
        <v>25</v>
      </c>
      <c r="D4" s="7" t="s">
        <v>26</v>
      </c>
      <c r="E4" s="7" t="s">
        <v>53</v>
      </c>
      <c r="F4" s="7" t="s">
        <v>54</v>
      </c>
      <c r="G4" s="7" t="s">
        <v>55</v>
      </c>
      <c r="H4" s="7" t="s">
        <v>99</v>
      </c>
    </row>
    <row r="5" customFormat="false" ht="15" hidden="false" customHeight="false" outlineLevel="0" collapsed="false">
      <c r="A5" s="8" t="s">
        <v>100</v>
      </c>
      <c r="B5" s="14" t="n">
        <f aca="false">'Revenue &amp; Cost Model'!B10</f>
        <v>450000</v>
      </c>
      <c r="C5" s="14" t="n">
        <f aca="false">'Revenue &amp; Cost Model'!C10</f>
        <v>1770000</v>
      </c>
      <c r="D5" s="14" t="n">
        <f aca="false">'Revenue &amp; Cost Model'!D10</f>
        <v>2400000</v>
      </c>
      <c r="E5" s="14" t="n">
        <f aca="false">Assumptions!$B$37*Assumptions!$B$11*3+Assumptions!$B$38*Assumptions!$B$12+Assumptions!$B$39*Assumptions!$B$13*3+Assumptions!$B$40</f>
        <v>10020000</v>
      </c>
      <c r="F5" s="14" t="n">
        <f aca="false">Assumptions!$C$37*Assumptions!$B$11*3+Assumptions!$C$38*Assumptions!$B$12+Assumptions!$C$39*Assumptions!$B$13*3+Assumptions!$C$40</f>
        <v>14220000</v>
      </c>
      <c r="G5" s="14" t="n">
        <f aca="false">Assumptions!$D$37*Assumptions!$B$11*3+Assumptions!$D$38*Assumptions!$B$12+Assumptions!$D$39*Assumptions!$B$13*3+Assumptions!$D$40</f>
        <v>19140000</v>
      </c>
      <c r="H5" s="27" t="n">
        <f aca="false">SUM(B5:G5)</f>
        <v>48000000</v>
      </c>
    </row>
    <row r="6" customFormat="false" ht="15" hidden="false" customHeight="false" outlineLevel="0" collapsed="false">
      <c r="A6" s="8" t="s">
        <v>101</v>
      </c>
      <c r="B6" s="14" t="n">
        <f aca="false">'Revenue &amp; Cost Model'!B21</f>
        <v>1600000</v>
      </c>
      <c r="C6" s="14" t="n">
        <f aca="false">'Revenue &amp; Cost Model'!C21</f>
        <v>1500000</v>
      </c>
      <c r="D6" s="14" t="n">
        <f aca="false">'Revenue &amp; Cost Model'!D21</f>
        <v>1850000</v>
      </c>
      <c r="E6" s="14" t="n">
        <f aca="false">Assumptions!$B$42+Assumptions!$B$43+Assumptions!$B$44+Assumptions!$B$45</f>
        <v>5400000</v>
      </c>
      <c r="F6" s="14" t="n">
        <f aca="false">Assumptions!$C$42+Assumptions!$C$43+Assumptions!$C$44+Assumptions!$C$45</f>
        <v>5400000</v>
      </c>
      <c r="G6" s="14" t="n">
        <f aca="false">Assumptions!$D$42+Assumptions!$D$43+Assumptions!$D$44+Assumptions!$D$45</f>
        <v>6000000</v>
      </c>
      <c r="H6" s="27" t="n">
        <f aca="false">SUM(B6:G6)</f>
        <v>21750000</v>
      </c>
    </row>
    <row r="7" customFormat="false" ht="15" hidden="false" customHeight="false" outlineLevel="0" collapsed="false">
      <c r="A7" s="21" t="s">
        <v>91</v>
      </c>
      <c r="B7" s="22" t="n">
        <f aca="false">B5-B6</f>
        <v>-1150000</v>
      </c>
      <c r="C7" s="22" t="n">
        <f aca="false">C5-C6</f>
        <v>270000</v>
      </c>
      <c r="D7" s="22" t="n">
        <f aca="false">D5-D6</f>
        <v>550000</v>
      </c>
      <c r="E7" s="22" t="n">
        <f aca="false">E5-E6</f>
        <v>4620000</v>
      </c>
      <c r="F7" s="22" t="n">
        <f aca="false">F5-F6</f>
        <v>8820000</v>
      </c>
      <c r="G7" s="22" t="n">
        <f aca="false">G5-G6</f>
        <v>13140000</v>
      </c>
      <c r="H7" s="22" t="n">
        <f aca="false">SUM(B7:G7)</f>
        <v>26250000</v>
      </c>
    </row>
    <row r="8" customFormat="false" ht="15" hidden="false" customHeight="false" outlineLevel="0" collapsed="false">
      <c r="A8" s="23" t="s">
        <v>92</v>
      </c>
      <c r="B8" s="24" t="n">
        <f aca="false">Assumptions!$B$10+B7</f>
        <v>3850000</v>
      </c>
      <c r="C8" s="24" t="n">
        <f aca="false">B8+C7</f>
        <v>4120000</v>
      </c>
      <c r="D8" s="24" t="n">
        <f aca="false">C8+D7</f>
        <v>4670000</v>
      </c>
      <c r="E8" s="24" t="n">
        <f aca="false">D8+E7</f>
        <v>9290000</v>
      </c>
      <c r="F8" s="24" t="n">
        <f aca="false">E8+F7</f>
        <v>18110000</v>
      </c>
      <c r="G8" s="24" t="n">
        <f aca="false">F8+G7</f>
        <v>31250000</v>
      </c>
      <c r="H8" s="24" t="n">
        <f aca="false">G8</f>
        <v>31250000</v>
      </c>
    </row>
    <row r="10" customFormat="false" ht="15" hidden="false" customHeight="false" outlineLevel="0" collapsed="false">
      <c r="A10" s="8" t="s">
        <v>102</v>
      </c>
      <c r="B10" s="26" t="n">
        <f aca="false">G8/Assumptions!$B$10</f>
        <v>6.25</v>
      </c>
    </row>
    <row r="11" customFormat="false" ht="23.85" hidden="false" customHeight="false" outlineLevel="0" collapsed="false">
      <c r="A11" s="8" t="s">
        <v>103</v>
      </c>
      <c r="B11" s="28" t="n">
        <f aca="false">(G5/3)/B5</f>
        <v>14.1777777777778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104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105</v>
      </c>
      <c r="B2" s="2"/>
      <c r="C2" s="2"/>
      <c r="D2" s="2"/>
      <c r="E2" s="2"/>
    </row>
    <row r="4" customFormat="false" ht="15" hidden="false" customHeight="false" outlineLevel="0" collapsed="false">
      <c r="A4" s="7" t="s">
        <v>106</v>
      </c>
      <c r="B4" s="7" t="s">
        <v>24</v>
      </c>
      <c r="C4" s="7" t="s">
        <v>25</v>
      </c>
      <c r="D4" s="7" t="s">
        <v>26</v>
      </c>
      <c r="E4" s="7" t="s">
        <v>76</v>
      </c>
    </row>
    <row r="5" customFormat="false" ht="15" hidden="false" customHeight="false" outlineLevel="0" collapsed="false">
      <c r="A5" s="21" t="s">
        <v>107</v>
      </c>
      <c r="B5" s="14" t="n">
        <f aca="false">'Revenue &amp; Cost Model'!B10</f>
        <v>450000</v>
      </c>
      <c r="C5" s="14" t="n">
        <f aca="false">'Revenue &amp; Cost Model'!C10</f>
        <v>1770000</v>
      </c>
      <c r="D5" s="14" t="n">
        <f aca="false">'Revenue &amp; Cost Model'!D10</f>
        <v>2400000</v>
      </c>
      <c r="E5" s="14" t="n">
        <f aca="false">'Revenue &amp; Cost Model'!E10</f>
        <v>4620000</v>
      </c>
    </row>
    <row r="6" customFormat="false" ht="15" hidden="false" customHeight="false" outlineLevel="0" collapsed="false">
      <c r="A6" s="21" t="s">
        <v>108</v>
      </c>
      <c r="B6" s="14" t="n">
        <f aca="false">'Revenue &amp; Cost Model'!B21</f>
        <v>1600000</v>
      </c>
      <c r="C6" s="14" t="n">
        <f aca="false">'Revenue &amp; Cost Model'!C21</f>
        <v>1500000</v>
      </c>
      <c r="D6" s="14" t="n">
        <f aca="false">'Revenue &amp; Cost Model'!D21</f>
        <v>1850000</v>
      </c>
      <c r="E6" s="14" t="n">
        <f aca="false">'Revenue &amp; Cost Model'!E21</f>
        <v>4950000</v>
      </c>
    </row>
    <row r="7" customFormat="false" ht="15" hidden="false" customHeight="false" outlineLevel="0" collapsed="false">
      <c r="A7" s="21" t="s">
        <v>109</v>
      </c>
      <c r="B7" s="14" t="n">
        <f aca="false">'Cash Flow'!B8</f>
        <v>-1150000</v>
      </c>
      <c r="C7" s="14" t="n">
        <f aca="false">'Cash Flow'!C8</f>
        <v>270000</v>
      </c>
      <c r="D7" s="14" t="n">
        <f aca="false">'Cash Flow'!D8</f>
        <v>550000</v>
      </c>
      <c r="E7" s="14" t="n">
        <f aca="false">'Cash Flow'!E8</f>
        <v>-330000</v>
      </c>
    </row>
    <row r="8" customFormat="false" ht="15" hidden="false" customHeight="false" outlineLevel="0" collapsed="false">
      <c r="A8" s="21" t="s">
        <v>110</v>
      </c>
      <c r="B8" s="14" t="n">
        <f aca="false">'Cash Flow'!B9</f>
        <v>3850000</v>
      </c>
      <c r="C8" s="14" t="n">
        <f aca="false">'Cash Flow'!C9</f>
        <v>4120000</v>
      </c>
      <c r="D8" s="14" t="n">
        <f aca="false">'Cash Flow'!D9</f>
        <v>4670000</v>
      </c>
      <c r="E8" s="14" t="n">
        <f aca="false">'Cash Flow'!E9</f>
        <v>4670000</v>
      </c>
    </row>
    <row r="10" customFormat="false" ht="15" hidden="false" customHeight="true" outlineLevel="0" collapsed="false">
      <c r="A10" s="3" t="s">
        <v>111</v>
      </c>
      <c r="B10" s="3"/>
      <c r="C10" s="3"/>
      <c r="D10" s="3"/>
      <c r="E10" s="3"/>
    </row>
    <row r="11" customFormat="false" ht="27.75" hidden="false" customHeight="true" outlineLevel="0" collapsed="false">
      <c r="A11" s="29" t="s">
        <v>112</v>
      </c>
      <c r="B11" s="29"/>
      <c r="C11" s="29"/>
      <c r="D11" s="29"/>
      <c r="E11" s="29"/>
    </row>
    <row r="12" customFormat="false" ht="27.75" hidden="false" customHeight="true" outlineLevel="0" collapsed="false">
      <c r="A12" s="29" t="s">
        <v>113</v>
      </c>
      <c r="B12" s="29"/>
      <c r="C12" s="29"/>
      <c r="D12" s="29"/>
      <c r="E12" s="29"/>
    </row>
    <row r="13" customFormat="false" ht="27.75" hidden="false" customHeight="true" outlineLevel="0" collapsed="false">
      <c r="A13" s="29" t="s">
        <v>114</v>
      </c>
      <c r="B13" s="29"/>
      <c r="C13" s="29"/>
      <c r="D13" s="29"/>
      <c r="E13" s="29"/>
    </row>
    <row r="14" customFormat="false" ht="27.75" hidden="false" customHeight="true" outlineLevel="0" collapsed="false">
      <c r="A14" s="29" t="s">
        <v>115</v>
      </c>
      <c r="B14" s="29"/>
      <c r="C14" s="29"/>
      <c r="D14" s="29"/>
      <c r="E14" s="29"/>
    </row>
    <row r="15" customFormat="false" ht="27.75" hidden="false" customHeight="true" outlineLevel="0" collapsed="false">
      <c r="A15" s="29" t="s">
        <v>116</v>
      </c>
      <c r="B15" s="29"/>
      <c r="C15" s="29"/>
      <c r="D15" s="29"/>
      <c r="E15" s="29"/>
    </row>
    <row r="17" customFormat="false" ht="15" hidden="false" customHeight="true" outlineLevel="0" collapsed="false">
      <c r="A17" s="3" t="s">
        <v>117</v>
      </c>
      <c r="B17" s="3"/>
      <c r="C17" s="3"/>
      <c r="D17" s="3"/>
      <c r="E17" s="3"/>
    </row>
    <row r="18" customFormat="false" ht="15" hidden="false" customHeight="false" outlineLevel="0" collapsed="false">
      <c r="A18" s="7" t="s">
        <v>106</v>
      </c>
      <c r="B18" s="7" t="s">
        <v>118</v>
      </c>
      <c r="C18" s="7" t="s">
        <v>53</v>
      </c>
      <c r="D18" s="7" t="s">
        <v>54</v>
      </c>
      <c r="E18" s="7" t="s">
        <v>55</v>
      </c>
    </row>
    <row r="19" customFormat="false" ht="15" hidden="false" customHeight="false" outlineLevel="0" collapsed="false">
      <c r="A19" s="21" t="s">
        <v>119</v>
      </c>
      <c r="B19" s="14" t="n">
        <f aca="false">SUM('12-Month Cash Flow'!B5:D5)</f>
        <v>4620000</v>
      </c>
      <c r="C19" s="14" t="n">
        <f aca="false">'12-Month Cash Flow'!E5</f>
        <v>10020000</v>
      </c>
      <c r="D19" s="14" t="n">
        <f aca="false">'12-Month Cash Flow'!F5</f>
        <v>14220000</v>
      </c>
      <c r="E19" s="14" t="n">
        <f aca="false">'12-Month Cash Flow'!G5</f>
        <v>19140000</v>
      </c>
    </row>
    <row r="20" customFormat="false" ht="15" hidden="false" customHeight="false" outlineLevel="0" collapsed="false">
      <c r="A20" s="21" t="s">
        <v>120</v>
      </c>
      <c r="B20" s="14" t="n">
        <f aca="false">SUM('12-Month Cash Flow'!B6:D6)</f>
        <v>4950000</v>
      </c>
      <c r="C20" s="14" t="n">
        <f aca="false">'12-Month Cash Flow'!E6</f>
        <v>5400000</v>
      </c>
      <c r="D20" s="14" t="n">
        <f aca="false">'12-Month Cash Flow'!F6</f>
        <v>5400000</v>
      </c>
      <c r="E20" s="14" t="n">
        <f aca="false">'12-Month Cash Flow'!G6</f>
        <v>6000000</v>
      </c>
    </row>
    <row r="21" customFormat="false" ht="15" hidden="false" customHeight="false" outlineLevel="0" collapsed="false">
      <c r="A21" s="21" t="s">
        <v>109</v>
      </c>
      <c r="B21" s="14" t="n">
        <f aca="false">SUM('12-Month Cash Flow'!B7:D7)</f>
        <v>-330000</v>
      </c>
      <c r="C21" s="14" t="n">
        <f aca="false">'12-Month Cash Flow'!E7</f>
        <v>4620000</v>
      </c>
      <c r="D21" s="14" t="n">
        <f aca="false">'12-Month Cash Flow'!F7</f>
        <v>8820000</v>
      </c>
      <c r="E21" s="14" t="n">
        <f aca="false">'12-Month Cash Flow'!G7</f>
        <v>13140000</v>
      </c>
    </row>
    <row r="22" customFormat="false" ht="15" hidden="false" customHeight="false" outlineLevel="0" collapsed="false">
      <c r="A22" s="21" t="s">
        <v>110</v>
      </c>
      <c r="B22" s="14" t="n">
        <f aca="false">'Cash Flow'!D9</f>
        <v>4670000</v>
      </c>
      <c r="C22" s="14" t="n">
        <f aca="false">'12-Month Cash Flow'!E8</f>
        <v>9290000</v>
      </c>
      <c r="D22" s="14" t="n">
        <f aca="false">'12-Month Cash Flow'!F8</f>
        <v>18110000</v>
      </c>
      <c r="E22" s="14" t="n">
        <f aca="false">'12-Month Cash Flow'!G8</f>
        <v>31250000</v>
      </c>
    </row>
    <row r="24" customFormat="false" ht="15" hidden="false" customHeight="false" outlineLevel="0" collapsed="false">
      <c r="A24" s="30" t="s">
        <v>121</v>
      </c>
      <c r="B24" s="30" t="s">
        <v>122</v>
      </c>
      <c r="C24" s="30" t="s">
        <v>123</v>
      </c>
    </row>
    <row r="25" customFormat="false" ht="15" hidden="false" customHeight="false" outlineLevel="0" collapsed="false">
      <c r="A25" s="31" t="s">
        <v>24</v>
      </c>
      <c r="B25" s="32" t="n">
        <f aca="false">'Revenue &amp; Cost Model'!B10</f>
        <v>450000</v>
      </c>
      <c r="C25" s="32" t="n">
        <f aca="false">'Revenue &amp; Cost Model'!B21</f>
        <v>1600000</v>
      </c>
    </row>
    <row r="26" customFormat="false" ht="15" hidden="false" customHeight="false" outlineLevel="0" collapsed="false">
      <c r="A26" s="31" t="s">
        <v>25</v>
      </c>
      <c r="B26" s="32" t="n">
        <f aca="false">'Revenue &amp; Cost Model'!C10</f>
        <v>1770000</v>
      </c>
      <c r="C26" s="32" t="n">
        <f aca="false">'Revenue &amp; Cost Model'!C21</f>
        <v>1500000</v>
      </c>
    </row>
    <row r="27" customFormat="false" ht="15" hidden="false" customHeight="false" outlineLevel="0" collapsed="false">
      <c r="A27" s="31" t="s">
        <v>26</v>
      </c>
      <c r="B27" s="32" t="n">
        <f aca="false">'Revenue &amp; Cost Model'!D10</f>
        <v>2400000</v>
      </c>
      <c r="C27" s="32" t="n">
        <f aca="false">'Revenue &amp; Cost Model'!D21</f>
        <v>1850000</v>
      </c>
    </row>
    <row r="46" customFormat="false" ht="15" hidden="false" customHeight="false" outlineLevel="0" collapsed="false">
      <c r="A46" s="30" t="s">
        <v>124</v>
      </c>
      <c r="B46" s="30" t="s">
        <v>122</v>
      </c>
      <c r="C46" s="30" t="s">
        <v>123</v>
      </c>
    </row>
    <row r="47" customFormat="false" ht="15" hidden="false" customHeight="false" outlineLevel="0" collapsed="false">
      <c r="A47" s="31" t="s">
        <v>118</v>
      </c>
      <c r="B47" s="32" t="n">
        <f aca="false">SUM('12-Month Cash Flow'!B5:D5)</f>
        <v>4620000</v>
      </c>
      <c r="C47" s="32" t="n">
        <f aca="false">SUM('12-Month Cash Flow'!B6:D6)</f>
        <v>4950000</v>
      </c>
    </row>
    <row r="48" customFormat="false" ht="15" hidden="false" customHeight="false" outlineLevel="0" collapsed="false">
      <c r="A48" s="31" t="s">
        <v>53</v>
      </c>
      <c r="B48" s="32" t="n">
        <f aca="false">'12-Month Cash Flow'!E5</f>
        <v>10020000</v>
      </c>
      <c r="C48" s="32" t="n">
        <f aca="false">'12-Month Cash Flow'!E6</f>
        <v>5400000</v>
      </c>
    </row>
    <row r="49" customFormat="false" ht="15" hidden="false" customHeight="false" outlineLevel="0" collapsed="false">
      <c r="A49" s="31" t="s">
        <v>54</v>
      </c>
      <c r="B49" s="32" t="n">
        <f aca="false">'12-Month Cash Flow'!F5</f>
        <v>14220000</v>
      </c>
      <c r="C49" s="32" t="n">
        <f aca="false">'12-Month Cash Flow'!F6</f>
        <v>5400000</v>
      </c>
    </row>
    <row r="50" customFormat="false" ht="15" hidden="false" customHeight="false" outlineLevel="0" collapsed="false">
      <c r="A50" s="31" t="s">
        <v>55</v>
      </c>
      <c r="B50" s="32" t="n">
        <f aca="false">'12-Month Cash Flow'!G5</f>
        <v>19140000</v>
      </c>
      <c r="C50" s="32" t="n">
        <f aca="false">'12-Month Cash Flow'!G6</f>
        <v>6000000</v>
      </c>
    </row>
  </sheetData>
  <mergeCells count="9">
    <mergeCell ref="A1:E1"/>
    <mergeCell ref="A2:E2"/>
    <mergeCell ref="A10:E10"/>
    <mergeCell ref="A11:E11"/>
    <mergeCell ref="A12:E12"/>
    <mergeCell ref="A13:E13"/>
    <mergeCell ref="A14:E14"/>
    <mergeCell ref="A15:E15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2026-08-27T12:13:43Z</dcterms:created>
  <dc:creator>openpyxl</dc:creator>
  <dc:description/>
  <dc:language>en-US</dc:language>
  <cp:lastModifiedBy/>
  <dcterms:modified xsi:type="dcterms:W3CDTF">2026-08-27T12:13:49Z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